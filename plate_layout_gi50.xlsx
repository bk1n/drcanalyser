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1754085\Documents\GitProjects\drc_analyser\"/>
    </mc:Choice>
  </mc:AlternateContent>
  <xr:revisionPtr revIDLastSave="0" documentId="13_ncr:1_{9FA838EE-14AB-481D-B741-1EBA2456A62D}" xr6:coauthVersionLast="47" xr6:coauthVersionMax="47" xr10:uidLastSave="{00000000-0000-0000-0000-000000000000}"/>
  <bookViews>
    <workbookView xWindow="-120" yWindow="-120" windowWidth="38640" windowHeight="21240" activeTab="3" xr2:uid="{8FCF5819-8A68-4587-A348-706285528510}"/>
  </bookViews>
  <sheets>
    <sheet name="help" sheetId="1" r:id="rId1"/>
    <sheet name="layout" sheetId="2" r:id="rId2"/>
    <sheet name="concs" sheetId="3" r:id="rId3"/>
    <sheet name="gi5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F5" i="3" s="1"/>
  <c r="G5" i="3" s="1"/>
  <c r="H5" i="3" s="1"/>
  <c r="C8" i="3" s="1"/>
  <c r="D8" i="3" s="1"/>
  <c r="E8" i="3" s="1"/>
  <c r="F8" i="3" s="1"/>
  <c r="G8" i="3" s="1"/>
  <c r="H8" i="3" s="1"/>
  <c r="D4" i="3"/>
  <c r="E4" i="3" s="1"/>
  <c r="F4" i="3" s="1"/>
  <c r="G4" i="3" s="1"/>
  <c r="H4" i="3" s="1"/>
  <c r="C7" i="3" s="1"/>
  <c r="D7" i="3" s="1"/>
  <c r="E7" i="3" s="1"/>
  <c r="F7" i="3" s="1"/>
  <c r="G7" i="3" s="1"/>
  <c r="H7" i="3" s="1"/>
  <c r="E3" i="3"/>
  <c r="F3" i="3" s="1"/>
  <c r="G3" i="3" s="1"/>
  <c r="H3" i="3" s="1"/>
  <c r="C6" i="3" s="1"/>
  <c r="D6" i="3" s="1"/>
  <c r="E6" i="3" s="1"/>
  <c r="F6" i="3" s="1"/>
  <c r="G6" i="3" s="1"/>
  <c r="H6" i="3" s="1"/>
  <c r="D3" i="3"/>
</calcChain>
</file>

<file path=xl/sharedStrings.xml><?xml version="1.0" encoding="utf-8"?>
<sst xmlns="http://schemas.openxmlformats.org/spreadsheetml/2006/main" count="211" uniqueCount="17">
  <si>
    <t>A</t>
  </si>
  <si>
    <t>B</t>
  </si>
  <si>
    <t>C</t>
  </si>
  <si>
    <t>D</t>
  </si>
  <si>
    <t>E</t>
  </si>
  <si>
    <t>F</t>
  </si>
  <si>
    <t>G</t>
  </si>
  <si>
    <t>H</t>
  </si>
  <si>
    <t>layout</t>
  </si>
  <si>
    <t>pbs</t>
  </si>
  <si>
    <t>trt::n1</t>
  </si>
  <si>
    <t>trt::n2</t>
  </si>
  <si>
    <t>trt::n3</t>
  </si>
  <si>
    <t>concs</t>
  </si>
  <si>
    <t>neg_ctrl</t>
  </si>
  <si>
    <t>bckgrnd</t>
  </si>
  <si>
    <t>gi50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</si>
</sst>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9525</xdr:rowOff>
    </xdr:from>
    <xdr:ext cx="4727192" cy="14857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8BA19-6479-F1D9-091A-6828C97A5A15}"/>
            </a:ext>
          </a:extLst>
        </xdr:cNvPr>
        <xdr:cNvSpPr txBox="1"/>
      </xdr:nvSpPr>
      <xdr:spPr>
        <a:xfrm>
          <a:off x="190500" y="190500"/>
          <a:ext cx="4727192" cy="14857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/>
            <a:t>Setup</a:t>
          </a:r>
        </a:p>
        <a:p>
          <a:r>
            <a:rPr lang="en-GB" sz="1100" b="0"/>
            <a:t>Two</a:t>
          </a:r>
          <a:r>
            <a:rPr lang="en-GB" sz="1100" b="0" baseline="0"/>
            <a:t> tables are required as sheets 1 and 2 below:</a:t>
          </a:r>
        </a:p>
        <a:p>
          <a:r>
            <a:rPr lang="en-GB" sz="1100" b="1" baseline="0"/>
            <a:t>layout</a:t>
          </a:r>
          <a:r>
            <a:rPr lang="en-GB" sz="1100" b="0" baseline="0"/>
            <a:t> - the layout of the 96well plate. Handles three types of value:</a:t>
          </a:r>
        </a:p>
        <a:p>
          <a:r>
            <a:rPr lang="en-GB" sz="1100" b="0" baseline="0"/>
            <a:t>- trt - treatment wells. Appending ::n1 or ::n2 etc specifies technical repeats.</a:t>
          </a:r>
        </a:p>
        <a:p>
          <a:r>
            <a:rPr lang="en-GB" sz="1100" b="0" baseline="0"/>
            <a:t>- neg_ctrl - wells to be used for 100% viability, normally 0.1% dmso wells</a:t>
          </a:r>
        </a:p>
        <a:p>
          <a:r>
            <a:rPr lang="en-GB" sz="1100" b="0" baseline="0"/>
            <a:t>- bckgrnd - wells to be used for background normalisation, normally media only</a:t>
          </a:r>
        </a:p>
        <a:p>
          <a:r>
            <a:rPr lang="en-GB" sz="1100" b="1" baseline="0"/>
            <a:t>concs </a:t>
          </a:r>
          <a:r>
            <a:rPr lang="en-GB" sz="1100" b="0" baseline="0"/>
            <a:t>- the concentrations for treated wells, can be in any units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gi50</a:t>
          </a:r>
          <a:r>
            <a:rPr lang="en-GB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if present, the wells measured at t=0, filled with gi50</a:t>
          </a:r>
          <a:endParaRPr lang="en-GB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3318-6664-4BC9-8961-5454B61DC976}">
  <dimension ref="A1"/>
  <sheetViews>
    <sheetView workbookViewId="0">
      <selection activeCell="G21" sqref="G21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AF87-CAD7-471F-8595-C9FB39345E3C}">
  <dimension ref="A1:M9"/>
  <sheetViews>
    <sheetView workbookViewId="0">
      <selection activeCell="E28" sqref="E28"/>
    </sheetView>
  </sheetViews>
  <sheetFormatPr defaultRowHeight="14.25"/>
  <sheetData>
    <row r="1" spans="1:13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>
      <c r="A3" t="s">
        <v>1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14</v>
      </c>
      <c r="J3" t="s">
        <v>14</v>
      </c>
      <c r="K3" t="s">
        <v>15</v>
      </c>
      <c r="L3" t="s">
        <v>15</v>
      </c>
      <c r="M3" t="s">
        <v>9</v>
      </c>
    </row>
    <row r="4" spans="1:13">
      <c r="A4" t="s">
        <v>2</v>
      </c>
      <c r="B4" t="s">
        <v>9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14</v>
      </c>
      <c r="J4" t="s">
        <v>14</v>
      </c>
      <c r="K4" t="s">
        <v>15</v>
      </c>
      <c r="L4" t="s">
        <v>15</v>
      </c>
      <c r="M4" t="s">
        <v>9</v>
      </c>
    </row>
    <row r="5" spans="1:13">
      <c r="A5" t="s">
        <v>3</v>
      </c>
      <c r="B5" t="s">
        <v>9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14</v>
      </c>
      <c r="J5" t="s">
        <v>14</v>
      </c>
      <c r="K5" t="s">
        <v>15</v>
      </c>
      <c r="L5" t="s">
        <v>15</v>
      </c>
      <c r="M5" t="s">
        <v>9</v>
      </c>
    </row>
    <row r="6" spans="1:13">
      <c r="A6" t="s">
        <v>4</v>
      </c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14</v>
      </c>
      <c r="J6" t="s">
        <v>14</v>
      </c>
      <c r="K6" t="s">
        <v>15</v>
      </c>
      <c r="L6" t="s">
        <v>15</v>
      </c>
      <c r="M6" t="s">
        <v>9</v>
      </c>
    </row>
    <row r="7" spans="1:13">
      <c r="A7" t="s">
        <v>5</v>
      </c>
      <c r="B7" t="s">
        <v>9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14</v>
      </c>
      <c r="J7" t="s">
        <v>14</v>
      </c>
      <c r="K7" t="s">
        <v>15</v>
      </c>
      <c r="L7" t="s">
        <v>15</v>
      </c>
      <c r="M7" t="s">
        <v>9</v>
      </c>
    </row>
    <row r="8" spans="1:13">
      <c r="A8" t="s">
        <v>6</v>
      </c>
      <c r="B8" t="s">
        <v>9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14</v>
      </c>
      <c r="J8" t="s">
        <v>14</v>
      </c>
      <c r="K8" t="s">
        <v>15</v>
      </c>
      <c r="L8" t="s">
        <v>15</v>
      </c>
      <c r="M8" t="s">
        <v>9</v>
      </c>
    </row>
    <row r="9" spans="1:13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A14B-85AE-45CF-870C-1025836FF4CB}">
  <dimension ref="A1:M9"/>
  <sheetViews>
    <sheetView workbookViewId="0">
      <selection activeCell="H32" sqref="A1:XFD1048576"/>
    </sheetView>
  </sheetViews>
  <sheetFormatPr defaultRowHeight="14.25"/>
  <sheetData>
    <row r="1" spans="1:13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>
      <c r="A3" t="s">
        <v>1</v>
      </c>
      <c r="B3" t="s">
        <v>9</v>
      </c>
      <c r="C3">
        <v>30</v>
      </c>
      <c r="D3">
        <f t="shared" ref="D3:H8" si="0">C3/10^0.5</f>
        <v>9.4868329805051381</v>
      </c>
      <c r="E3">
        <f t="shared" si="0"/>
        <v>3</v>
      </c>
      <c r="F3">
        <f t="shared" si="0"/>
        <v>0.94868329805051377</v>
      </c>
      <c r="G3">
        <f t="shared" si="0"/>
        <v>0.3</v>
      </c>
      <c r="H3">
        <f t="shared" si="0"/>
        <v>9.4868329805051374E-2</v>
      </c>
      <c r="M3" t="s">
        <v>9</v>
      </c>
    </row>
    <row r="4" spans="1:13">
      <c r="A4" t="s">
        <v>2</v>
      </c>
      <c r="B4" t="s">
        <v>9</v>
      </c>
      <c r="C4">
        <v>30</v>
      </c>
      <c r="D4">
        <f t="shared" si="0"/>
        <v>9.4868329805051381</v>
      </c>
      <c r="E4">
        <f t="shared" si="0"/>
        <v>3</v>
      </c>
      <c r="F4">
        <f t="shared" si="0"/>
        <v>0.94868329805051377</v>
      </c>
      <c r="G4">
        <f t="shared" si="0"/>
        <v>0.3</v>
      </c>
      <c r="H4">
        <f t="shared" si="0"/>
        <v>9.4868329805051374E-2</v>
      </c>
      <c r="M4" t="s">
        <v>9</v>
      </c>
    </row>
    <row r="5" spans="1:13">
      <c r="A5" t="s">
        <v>3</v>
      </c>
      <c r="B5" t="s">
        <v>9</v>
      </c>
      <c r="C5">
        <v>30</v>
      </c>
      <c r="D5">
        <f t="shared" si="0"/>
        <v>9.4868329805051381</v>
      </c>
      <c r="E5">
        <f t="shared" si="0"/>
        <v>3</v>
      </c>
      <c r="F5">
        <f t="shared" si="0"/>
        <v>0.94868329805051377</v>
      </c>
      <c r="G5">
        <f t="shared" si="0"/>
        <v>0.3</v>
      </c>
      <c r="H5">
        <f t="shared" si="0"/>
        <v>9.4868329805051374E-2</v>
      </c>
      <c r="M5" t="s">
        <v>9</v>
      </c>
    </row>
    <row r="6" spans="1:13">
      <c r="A6" t="s">
        <v>4</v>
      </c>
      <c r="B6" t="s">
        <v>9</v>
      </c>
      <c r="C6">
        <f>H3/10^0.5</f>
        <v>2.9999999999999995E-2</v>
      </c>
      <c r="D6">
        <f t="shared" si="0"/>
        <v>9.486832980505136E-3</v>
      </c>
      <c r="E6">
        <f t="shared" si="0"/>
        <v>2.9999999999999992E-3</v>
      </c>
      <c r="F6">
        <f t="shared" si="0"/>
        <v>9.4868329805051349E-4</v>
      </c>
      <c r="G6">
        <f t="shared" si="0"/>
        <v>2.9999999999999987E-4</v>
      </c>
      <c r="H6">
        <f t="shared" si="0"/>
        <v>9.4868329805051325E-5</v>
      </c>
      <c r="M6" t="s">
        <v>9</v>
      </c>
    </row>
    <row r="7" spans="1:13">
      <c r="A7" t="s">
        <v>5</v>
      </c>
      <c r="B7" t="s">
        <v>9</v>
      </c>
      <c r="C7">
        <f>H4/10^0.5</f>
        <v>2.9999999999999995E-2</v>
      </c>
      <c r="D7">
        <f t="shared" si="0"/>
        <v>9.486832980505136E-3</v>
      </c>
      <c r="E7">
        <f t="shared" si="0"/>
        <v>2.9999999999999992E-3</v>
      </c>
      <c r="F7">
        <f t="shared" si="0"/>
        <v>9.4868329805051349E-4</v>
      </c>
      <c r="G7">
        <f t="shared" si="0"/>
        <v>2.9999999999999987E-4</v>
      </c>
      <c r="H7">
        <f t="shared" si="0"/>
        <v>9.4868329805051325E-5</v>
      </c>
      <c r="M7" t="s">
        <v>9</v>
      </c>
    </row>
    <row r="8" spans="1:13">
      <c r="A8" t="s">
        <v>6</v>
      </c>
      <c r="B8" t="s">
        <v>9</v>
      </c>
      <c r="C8">
        <f>H5/10^0.5</f>
        <v>2.9999999999999995E-2</v>
      </c>
      <c r="D8">
        <f t="shared" si="0"/>
        <v>9.486832980505136E-3</v>
      </c>
      <c r="E8">
        <f t="shared" si="0"/>
        <v>2.9999999999999992E-3</v>
      </c>
      <c r="F8">
        <f t="shared" si="0"/>
        <v>9.4868329805051349E-4</v>
      </c>
      <c r="G8">
        <f t="shared" si="0"/>
        <v>2.9999999999999987E-4</v>
      </c>
      <c r="H8">
        <f t="shared" si="0"/>
        <v>9.4868329805051325E-5</v>
      </c>
      <c r="M8" t="s">
        <v>9</v>
      </c>
    </row>
    <row r="9" spans="1:13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EEF7-BA3D-4C9D-A18A-51EA5EF0032E}">
  <dimension ref="A1:M9"/>
  <sheetViews>
    <sheetView tabSelected="1" workbookViewId="0">
      <selection sqref="A1:M9"/>
    </sheetView>
  </sheetViews>
  <sheetFormatPr defaultRowHeight="14.25"/>
  <sheetData>
    <row r="1" spans="1:13">
      <c r="A1" t="s">
        <v>16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>
      <c r="A3" t="s">
        <v>1</v>
      </c>
      <c r="B3" t="s">
        <v>9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M3" t="s">
        <v>9</v>
      </c>
    </row>
    <row r="4" spans="1:13">
      <c r="A4" t="s">
        <v>2</v>
      </c>
      <c r="B4" t="s">
        <v>9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M4" t="s">
        <v>9</v>
      </c>
    </row>
    <row r="5" spans="1:13">
      <c r="A5" t="s">
        <v>3</v>
      </c>
      <c r="B5" t="s">
        <v>9</v>
      </c>
      <c r="M5" t="s">
        <v>9</v>
      </c>
    </row>
    <row r="6" spans="1:13">
      <c r="A6" t="s">
        <v>4</v>
      </c>
      <c r="B6" t="s">
        <v>9</v>
      </c>
      <c r="M6" t="s">
        <v>9</v>
      </c>
    </row>
    <row r="7" spans="1:13">
      <c r="A7" t="s">
        <v>5</v>
      </c>
      <c r="B7" t="s">
        <v>9</v>
      </c>
      <c r="M7" t="s">
        <v>9</v>
      </c>
    </row>
    <row r="8" spans="1:13">
      <c r="A8" t="s">
        <v>6</v>
      </c>
      <c r="B8" t="s">
        <v>9</v>
      </c>
      <c r="M8" t="s">
        <v>9</v>
      </c>
    </row>
    <row r="9" spans="1:13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</vt:lpstr>
      <vt:lpstr>layout</vt:lpstr>
      <vt:lpstr>concs</vt:lpstr>
      <vt:lpstr>gi50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King</dc:creator>
  <cp:lastModifiedBy>Ben King</cp:lastModifiedBy>
  <dcterms:created xsi:type="dcterms:W3CDTF">2024-07-02T17:25:27Z</dcterms:created>
  <dcterms:modified xsi:type="dcterms:W3CDTF">2024-08-12T15:36:32Z</dcterms:modified>
</cp:coreProperties>
</file>